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Course</t>
        </is>
      </c>
      <c r="D1" s="1" t="inlineStr">
        <is>
          <t>Marks Obtained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Result</t>
        </is>
      </c>
      <c r="I1" s="1" t="inlineStr">
        <is>
          <t>Attendance %</t>
        </is>
      </c>
    </row>
    <row r="2">
      <c r="A2" t="n">
        <v>201</v>
      </c>
      <c r="B2" t="inlineStr">
        <is>
          <t>Amit Kumar</t>
        </is>
      </c>
      <c r="C2" t="inlineStr">
        <is>
          <t>MS Excel</t>
        </is>
      </c>
      <c r="D2" t="n">
        <v>450</v>
      </c>
      <c r="E2" t="n">
        <v>500</v>
      </c>
      <c r="F2">
        <f>D2/E2*100</f>
        <v/>
      </c>
      <c r="G2">
        <f>IF(F2&gt;=90,"A",IF(F2&gt;=75,"B",IF(F2&gt;=60,"C","D")))</f>
        <v/>
      </c>
      <c r="H2">
        <f>IF(F2&gt;=40,"Pass","Fail")</f>
        <v/>
      </c>
      <c r="I2" t="n">
        <v>92</v>
      </c>
    </row>
    <row r="3">
      <c r="A3" t="n">
        <v>202</v>
      </c>
      <c r="B3" t="inlineStr">
        <is>
          <t>Neha Sharma</t>
        </is>
      </c>
      <c r="C3" t="inlineStr">
        <is>
          <t>MS Word</t>
        </is>
      </c>
      <c r="D3" t="n">
        <v>420</v>
      </c>
      <c r="E3" t="n">
        <v>500</v>
      </c>
      <c r="F3">
        <f>D3/E3*100</f>
        <v/>
      </c>
      <c r="G3">
        <f>IF(F3&gt;=90,"A",IF(F3&gt;=75,"B",IF(F3&gt;=60,"C","D")))</f>
        <v/>
      </c>
      <c r="H3">
        <f>IF(F3&gt;=40,"Pass","Fail")</f>
        <v/>
      </c>
      <c r="I3" t="n">
        <v>88</v>
      </c>
    </row>
    <row r="4">
      <c r="A4" t="n">
        <v>203</v>
      </c>
      <c r="B4" t="inlineStr">
        <is>
          <t>Rohit Reddy</t>
        </is>
      </c>
      <c r="C4" t="inlineStr">
        <is>
          <t>PowerPoint</t>
        </is>
      </c>
      <c r="D4" t="n">
        <v>390</v>
      </c>
      <c r="E4" t="n">
        <v>500</v>
      </c>
      <c r="F4">
        <f>D4/E4*100</f>
        <v/>
      </c>
      <c r="G4">
        <f>IF(F4&gt;=90,"A",IF(F4&gt;=75,"B",IF(F4&gt;=60,"C","D")))</f>
        <v/>
      </c>
      <c r="H4">
        <f>IF(F4&gt;=40,"Pass","Fail")</f>
        <v/>
      </c>
      <c r="I4" t="n">
        <v>75</v>
      </c>
    </row>
    <row r="5">
      <c r="A5" t="n">
        <v>204</v>
      </c>
      <c r="B5" t="inlineStr">
        <is>
          <t>Sneha Patel</t>
        </is>
      </c>
      <c r="C5" t="inlineStr">
        <is>
          <t>Tally ERP</t>
        </is>
      </c>
      <c r="D5" t="n">
        <v>470</v>
      </c>
      <c r="E5" t="n">
        <v>500</v>
      </c>
      <c r="F5">
        <f>D5/E5*100</f>
        <v/>
      </c>
      <c r="G5">
        <f>IF(F5&gt;=90,"A",IF(F5&gt;=75,"B",IF(F5&gt;=60,"C","D")))</f>
        <v/>
      </c>
      <c r="H5">
        <f>IF(F5&gt;=40,"Pass","Fail")</f>
        <v/>
      </c>
      <c r="I5" t="n">
        <v>95</v>
      </c>
    </row>
    <row r="6">
      <c r="A6" t="n">
        <v>205</v>
      </c>
      <c r="B6" t="inlineStr">
        <is>
          <t>Kiran Rao</t>
        </is>
      </c>
      <c r="C6" t="inlineStr">
        <is>
          <t>Python Basics</t>
        </is>
      </c>
      <c r="D6" t="n">
        <v>410</v>
      </c>
      <c r="E6" t="n">
        <v>500</v>
      </c>
      <c r="F6">
        <f>D6/E6*100</f>
        <v/>
      </c>
      <c r="G6">
        <f>IF(F6&gt;=90,"A",IF(F6&gt;=75,"B",IF(F6&gt;=60,"C","D")))</f>
        <v/>
      </c>
      <c r="H6">
        <f>IF(F6&gt;=40,"Pass","Fail")</f>
        <v/>
      </c>
      <c r="I6" t="n">
        <v>82</v>
      </c>
    </row>
    <row r="7">
      <c r="A7" t="n">
        <v>206</v>
      </c>
      <c r="B7" t="inlineStr">
        <is>
          <t>Priya Singh</t>
        </is>
      </c>
      <c r="C7" t="inlineStr">
        <is>
          <t>Digital Marketing</t>
        </is>
      </c>
      <c r="D7" t="n">
        <v>380</v>
      </c>
      <c r="E7" t="n">
        <v>500</v>
      </c>
      <c r="F7">
        <f>D7/E7*100</f>
        <v/>
      </c>
      <c r="G7">
        <f>IF(F7&gt;=90,"A",IF(F7&gt;=75,"B",IF(F7&gt;=60,"C","D")))</f>
        <v/>
      </c>
      <c r="H7">
        <f>IF(F7&gt;=40,"Pass","Fail")</f>
        <v/>
      </c>
      <c r="I7" t="n">
        <v>70</v>
      </c>
    </row>
    <row r="8">
      <c r="A8" t="n">
        <v>207</v>
      </c>
      <c r="B8" t="inlineStr">
        <is>
          <t>Rahul Das</t>
        </is>
      </c>
      <c r="C8" t="inlineStr">
        <is>
          <t>MS Excel</t>
        </is>
      </c>
      <c r="D8" t="n">
        <v>460</v>
      </c>
      <c r="E8" t="n">
        <v>500</v>
      </c>
      <c r="F8">
        <f>D8/E8*100</f>
        <v/>
      </c>
      <c r="G8">
        <f>IF(F8&gt;=90,"A",IF(F8&gt;=75,"B",IF(F8&gt;=60,"C","D")))</f>
        <v/>
      </c>
      <c r="H8">
        <f>IF(F8&gt;=40,"Pass","Fail")</f>
        <v/>
      </c>
      <c r="I8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Student Project Summary</t>
        </is>
      </c>
    </row>
    <row r="3">
      <c r="A3" t="inlineStr">
        <is>
          <t>Total Students:</t>
        </is>
      </c>
      <c r="B3">
        <f>COUNTA('Student Details'!A2:A100)</f>
        <v/>
      </c>
    </row>
    <row r="4">
      <c r="A4" t="inlineStr">
        <is>
          <t>Average Percentage:</t>
        </is>
      </c>
      <c r="B4">
        <f>AVERAGE('Student Details'!F2:F100)</f>
        <v/>
      </c>
    </row>
    <row r="5">
      <c r="A5" t="inlineStr">
        <is>
          <t>Highest Percentage:</t>
        </is>
      </c>
      <c r="B5">
        <f>MAX('Student Details'!F2:F100)</f>
        <v/>
      </c>
    </row>
    <row r="6">
      <c r="A6" t="inlineStr">
        <is>
          <t>Lowest Percentage:</t>
        </is>
      </c>
      <c r="B6">
        <f>MIN('Student Details'!F2:F100)</f>
        <v/>
      </c>
    </row>
    <row r="7">
      <c r="A7" t="inlineStr">
        <is>
          <t>Pass Count:</t>
        </is>
      </c>
      <c r="B7">
        <f>COUNTIF('Student Details'!H2:H100,"Pass")</f>
        <v/>
      </c>
    </row>
    <row r="8">
      <c r="A8" t="inlineStr">
        <is>
          <t>Fail Count:</t>
        </is>
      </c>
      <c r="B8">
        <f>COUNTIF('Student Details'!H2:H100,"Fail")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2026-02-13T08:57:43Z</dcterms:created>
  <dcterms:modified xmlns:dcterms="http://purl.org/dc/terms/" xmlns:xsi="http://www.w3.org/2001/XMLSchema-instance" xsi:type="dcterms:W3CDTF">2026-02-13T08:57:43Z</dcterms:modified>
</cp:coreProperties>
</file>